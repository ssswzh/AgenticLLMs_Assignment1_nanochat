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angsw/Desktop/Leiden Univ/Semester3/Agentic_Large_Language_Models/AgenticLLMs_Assignment1_nanochat/group28/"/>
    </mc:Choice>
  </mc:AlternateContent>
  <xr:revisionPtr revIDLastSave="0" documentId="13_ncr:1_{3FF8CA01-F3F6-3D4A-9F20-48668C968811}" xr6:coauthVersionLast="47" xr6:coauthVersionMax="47" xr10:uidLastSave="{00000000-0000-0000-0000-000000000000}"/>
  <bookViews>
    <workbookView xWindow="4120" yWindow="500" windowWidth="26900" windowHeight="18160" xr2:uid="{81F75719-5437-3144-9CE3-AEA0A8A292AC}"/>
  </bookViews>
  <sheets>
    <sheet name="Task 1" sheetId="1" r:id="rId1"/>
    <sheet name="Task 2 Model" sheetId="2" r:id="rId2"/>
    <sheet name="Task 3 Loss Masking" sheetId="3" r:id="rId3"/>
    <sheet name="Task 3 Data Analysis" sheetId="4" r:id="rId4"/>
    <sheet name="Task 3 Benchmark Scor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E4" i="4"/>
  <c r="E2" i="4"/>
  <c r="G2" i="4"/>
  <c r="G3" i="4"/>
  <c r="E13" i="2"/>
  <c r="D13" i="2"/>
  <c r="E3" i="2"/>
  <c r="E4" i="2"/>
  <c r="E5" i="2"/>
  <c r="E34" i="2"/>
  <c r="D34" i="2"/>
  <c r="E33" i="2"/>
  <c r="D33" i="2"/>
  <c r="D5" i="2"/>
  <c r="E17" i="2"/>
  <c r="D25" i="2"/>
  <c r="D17" i="2"/>
  <c r="D20" i="2" s="1"/>
  <c r="D36" i="2"/>
  <c r="D3" i="2"/>
  <c r="D4" i="2" s="1"/>
  <c r="E25" i="2" l="1"/>
  <c r="D31" i="2"/>
  <c r="E32" i="2"/>
  <c r="E30" i="2"/>
  <c r="E31" i="2"/>
  <c r="E35" i="2"/>
  <c r="E20" i="2"/>
  <c r="E21" i="2"/>
  <c r="D21" i="2"/>
  <c r="D30" i="2"/>
  <c r="D32" i="2"/>
  <c r="D35" i="2"/>
  <c r="E7" i="2" l="1"/>
  <c r="E37" i="2"/>
  <c r="E6" i="2" s="1"/>
  <c r="D37" i="2"/>
  <c r="D6" i="2" s="1"/>
  <c r="D7" i="2"/>
  <c r="E8" i="2" l="1"/>
  <c r="E14" i="2" s="1"/>
  <c r="E10" i="2"/>
  <c r="D10" i="2"/>
  <c r="D19" i="2" s="1"/>
  <c r="D11" i="2" s="1"/>
  <c r="D8" i="2"/>
  <c r="D14" i="2" s="1"/>
  <c r="E19" i="2" l="1"/>
  <c r="E11" i="2" s="1"/>
  <c r="E15" i="2" s="1"/>
  <c r="D15" i="2"/>
</calcChain>
</file>

<file path=xl/sharedStrings.xml><?xml version="1.0" encoding="utf-8"?>
<sst xmlns="http://schemas.openxmlformats.org/spreadsheetml/2006/main" count="156" uniqueCount="145">
  <si>
    <t>Text Type
(Text Length)</t>
    <phoneticPr fontId="2" type="noConversion"/>
  </si>
  <si>
    <t>English
(1,453)</t>
    <phoneticPr fontId="2" type="noConversion"/>
  </si>
  <si>
    <t>Numbers
(39)</t>
    <phoneticPr fontId="2" type="noConversion"/>
  </si>
  <si>
    <t>Source code
(63)</t>
    <phoneticPr fontId="2" type="noConversion"/>
  </si>
  <si>
    <t>Non-English
(193)</t>
    <phoneticPr fontId="2" type="noConversion"/>
  </si>
  <si>
    <t>Tokens per
Character (TPC)</t>
    <phoneticPr fontId="2" type="noConversion"/>
  </si>
  <si>
    <t>Token
Length</t>
    <phoneticPr fontId="2" type="noConversion"/>
  </si>
  <si>
    <t>Vocabulary
Size</t>
    <phoneticPr fontId="2" type="noConversion"/>
  </si>
  <si>
    <t>Parameter</t>
    <phoneticPr fontId="2" type="noConversion"/>
  </si>
  <si>
    <t>Calculation</t>
    <phoneticPr fontId="2" type="noConversion"/>
  </si>
  <si>
    <t>depth</t>
    <phoneticPr fontId="2" type="noConversion"/>
  </si>
  <si>
    <t>attention heads</t>
    <phoneticPr fontId="2" type="noConversion"/>
  </si>
  <si>
    <t>round up to multiple of head_dim</t>
    <phoneticPr fontId="2" type="noConversion"/>
  </si>
  <si>
    <t>keep head_dim=128, more depth-&gt;more dim-&gt;more heads</t>
    <phoneticPr fontId="2" type="noConversion"/>
  </si>
  <si>
    <t>total parameters</t>
    <phoneticPr fontId="2" type="noConversion"/>
  </si>
  <si>
    <t>scaling parameters</t>
    <phoneticPr fontId="2" type="noConversion"/>
  </si>
  <si>
    <t>target token ratio</t>
    <phoneticPr fontId="2" type="noConversion"/>
  </si>
  <si>
    <t>total batch size</t>
    <phoneticPr fontId="2" type="noConversion"/>
  </si>
  <si>
    <t>total training tokens</t>
    <phoneticPr fontId="2" type="noConversion"/>
  </si>
  <si>
    <t>number of iterations</t>
    <phoneticPr fontId="2" type="noConversion"/>
  </si>
  <si>
    <t>gradient accumulation</t>
    <phoneticPr fontId="2" type="noConversion"/>
  </si>
  <si>
    <t>vocab_size * embed_dim</t>
    <phoneticPr fontId="2" type="noConversion"/>
  </si>
  <si>
    <t>Total Parameters</t>
    <phoneticPr fontId="2" type="noConversion"/>
  </si>
  <si>
    <t>word embedding</t>
    <phoneticPr fontId="2" type="noConversion"/>
  </si>
  <si>
    <t>value embedding</t>
    <phoneticPr fontId="2" type="noConversion"/>
  </si>
  <si>
    <t>((depth+1)//2) * vocab_size * kv_dim</t>
    <phoneticPr fontId="2" type="noConversion"/>
  </si>
  <si>
    <t>unembedding</t>
    <phoneticPr fontId="2" type="noConversion"/>
  </si>
  <si>
    <t>embed_size * vocab_size</t>
    <phoneticPr fontId="2" type="noConversion"/>
  </si>
  <si>
    <t>transformer attention</t>
    <phoneticPr fontId="2" type="noConversion"/>
  </si>
  <si>
    <t>transformer MLP</t>
    <phoneticPr fontId="2" type="noConversion"/>
  </si>
  <si>
    <t>Total</t>
    <phoneticPr fontId="2" type="noConversion"/>
  </si>
  <si>
    <t>transformer attention ve gate</t>
    <phoneticPr fontId="2" type="noConversion"/>
  </si>
  <si>
    <t>((depth+1)//2) * ve_gate * kn_head</t>
    <phoneticPr fontId="2" type="noConversion"/>
  </si>
  <si>
    <t>scalars</t>
    <phoneticPr fontId="2" type="noConversion"/>
  </si>
  <si>
    <t>embed_size * 4 * embed_size * 2 * depth</t>
    <phoneticPr fontId="2" type="noConversion"/>
  </si>
  <si>
    <t>(embed_size * (head + 2*kv_head) * head_dim + embed_size * embed_size) * depth</t>
    <phoneticPr fontId="2" type="noConversion"/>
  </si>
  <si>
    <t>resid_lambdas + x0_lambdas + smear_gate + smear_lambda + backout_lambda</t>
    <phoneticPr fontId="2" type="noConversion"/>
  </si>
  <si>
    <t>Function</t>
    <phoneticPr fontId="2" type="noConversion"/>
  </si>
  <si>
    <t>token ID to embedding</t>
    <phoneticPr fontId="2" type="noConversion"/>
  </si>
  <si>
    <t>value embedding in attention layer</t>
    <phoneticPr fontId="2" type="noConversion"/>
  </si>
  <si>
    <t>hidden state to vocabulary logits</t>
    <phoneticPr fontId="2" type="noConversion"/>
  </si>
  <si>
    <t>Q/K/V/projection</t>
    <phoneticPr fontId="2" type="noConversion"/>
  </si>
  <si>
    <t>VE gate</t>
    <phoneticPr fontId="2" type="noConversion"/>
  </si>
  <si>
    <t>MLP</t>
    <phoneticPr fontId="2" type="noConversion"/>
  </si>
  <si>
    <t>residual, input mixing, smear, backout controls</t>
    <phoneticPr fontId="2" type="noConversion"/>
  </si>
  <si>
    <t>estimated FLOPs per token</t>
    <phoneticPr fontId="2" type="noConversion"/>
  </si>
  <si>
    <t>seq length</t>
    <phoneticPr fontId="2" type="noConversion"/>
  </si>
  <si>
    <t>wte + value_embeds + lm_head + transformer_matrices + scalars</t>
    <phoneticPr fontId="2" type="noConversion"/>
  </si>
  <si>
    <t>transformer_matrices + lm_head = 393,228 + 4,194,304</t>
    <phoneticPr fontId="2" type="noConversion"/>
  </si>
  <si>
    <t>input --target-param-data-ratio</t>
    <phoneticPr fontId="2" type="noConversion"/>
  </si>
  <si>
    <t>input --max-seq-len</t>
    <phoneticPr fontId="2" type="noConversion"/>
  </si>
  <si>
    <t>target_tokens // total_batch_size = 55,050,384 // 131,072</t>
  </si>
  <si>
    <t>sqrt(total_batch_size / B_ref) = sqrt(131072/524288)</t>
    <phoneticPr fontId="2" type="noConversion"/>
  </si>
  <si>
    <t>batch LR scale</t>
    <phoneticPr fontId="2" type="noConversion"/>
  </si>
  <si>
    <t>AdamW width LR scale</t>
    <phoneticPr fontId="2" type="noConversion"/>
  </si>
  <si>
    <r>
      <t xml:space="preserve">(d_model / 768)^(-1/2) = </t>
    </r>
    <r>
      <rPr>
        <sz val="12"/>
        <color theme="1"/>
        <rFont val="Arial Unicode MS"/>
        <family val="2"/>
      </rPr>
      <t>(128/768)^(-1/2)</t>
    </r>
    <phoneticPr fontId="2" type="noConversion"/>
  </si>
  <si>
    <t>device batch size</t>
    <phoneticPr fontId="2" type="noConversion"/>
  </si>
  <si>
    <t>input --device-batch-size</t>
    <phoneticPr fontId="2" type="noConversion"/>
  </si>
  <si>
    <t>input --depth</t>
    <phoneticPr fontId="2" type="noConversion"/>
  </si>
  <si>
    <t>num matmul params</t>
    <phoneticPr fontId="2" type="noConversion"/>
  </si>
  <si>
    <t>scaling_params + smear_gate</t>
    <phoneticPr fontId="2" type="noConversion"/>
  </si>
  <si>
    <t>attention FLOPs</t>
    <phoneticPr fontId="2" type="noConversion"/>
  </si>
  <si>
    <t>perform the forward/backward cumulative gradient four times in a row, and then execute the optimizer step once.</t>
    <phoneticPr fontId="2" type="noConversion"/>
  </si>
  <si>
    <t>Input</t>
    <phoneticPr fontId="2" type="noConversion"/>
  </si>
  <si>
    <t>Model</t>
    <phoneticPr fontId="2" type="noConversion"/>
  </si>
  <si>
    <t>num_matmul_params: 2 forword + 4 backward = 6 FLOPs</t>
    <phoneticPr fontId="2" type="noConversion"/>
  </si>
  <si>
    <t>target training tokens (D)</t>
    <phoneticPr fontId="2" type="noConversion"/>
  </si>
  <si>
    <t>target_token_ratio * get_scaling_params(d12_ref)</t>
    <phoneticPr fontId="2" type="noConversion"/>
  </si>
  <si>
    <t>reference model training token (D_ref)</t>
    <phoneticPr fontId="2" type="noConversion"/>
  </si>
  <si>
    <t>reference model optimal batch size (B_ref)</t>
    <phoneticPr fontId="2" type="noConversion"/>
  </si>
  <si>
    <t>2^19</t>
    <phoneticPr fontId="2" type="noConversion"/>
  </si>
  <si>
    <t>depth=12 reference model</t>
    <phoneticPr fontId="2" type="noConversion"/>
  </si>
  <si>
    <t>empirically optimal batch size of depth=12 reference model</t>
    <phoneticPr fontId="2" type="noConversion"/>
  </si>
  <si>
    <t>Tokens and sequences</t>
    <phoneticPr fontId="2" type="noConversion"/>
  </si>
  <si>
    <t>Computation</t>
    <phoneticPr fontId="2" type="noConversion"/>
  </si>
  <si>
    <t>Reference model</t>
    <phoneticPr fontId="2" type="noConversion"/>
  </si>
  <si>
    <t>Batch size</t>
    <phoneticPr fontId="2" type="noConversion"/>
  </si>
  <si>
    <t>Optimization and gradient</t>
    <phoneticPr fontId="2" type="noConversion"/>
  </si>
  <si>
    <t>Category</t>
    <phoneticPr fontId="2" type="noConversion"/>
  </si>
  <si>
    <t>embedding width (d_model)</t>
    <phoneticPr fontId="2" type="noConversion"/>
  </si>
  <si>
    <t>world size</t>
    <phoneticPr fontId="2" type="noConversion"/>
  </si>
  <si>
    <t>number of distributed processes participating in the training simultaneously</t>
    <phoneticPr fontId="2" type="noConversion"/>
  </si>
  <si>
    <t>number of process in parallel</t>
    <phoneticPr fontId="2" type="noConversion"/>
  </si>
  <si>
    <t>short window 512, full context 2048</t>
    <phoneticPr fontId="2" type="noConversion"/>
  </si>
  <si>
    <t>initialize optimizer with batch LR scale as coefficient to solve batch size problem (relative to reference model)</t>
    <phoneticPr fontId="2" type="noConversion"/>
  </si>
  <si>
    <t>matrix multiplication params: add up the number of weights of all the Linear layers in the model. smear_gate: mix previous token's embedding into current token (Linear(24,1) = 24dim * 1gate = 24)</t>
    <phoneticPr fontId="2" type="noConversion"/>
  </si>
  <si>
    <t>Model total params</t>
    <phoneticPr fontId="2" type="noConversion"/>
  </si>
  <si>
    <t>ceil(depth * aspect_ratio / head_dim) * head_dim = ((2*64+128−1)//128)*128</t>
  </si>
  <si>
    <t>target_token_ratio * scaling_params = 12 * 4,587,532</t>
  </si>
  <si>
    <t>total_batch_size * num_iterations = 131,072 * 420</t>
  </si>
  <si>
    <t>6 * num_matmul_params + atten_FLOPs</t>
  </si>
  <si>
    <t>total_batch_size / (device_batch_size * seq_len * world_size) = 131072/(16*2048*1)</t>
  </si>
  <si>
    <t>default 12, Chinchilla 20</t>
    <phoneticPr fontId="2" type="noConversion"/>
  </si>
  <si>
    <t>adjust according to model width, tuned for 768 dim model</t>
    <phoneticPr fontId="2" type="noConversion"/>
  </si>
  <si>
    <t>automatically scale batch size based on depth and reference model, Power Lines paper (Bopt ∝ D^0.383), the optimal batch size grows as approximately D^0.383</t>
    <phoneticPr fontId="2" type="noConversion"/>
  </si>
  <si>
    <t>2^round(log2(B_ref * (target_tokens/D_ref)^0.383))</t>
    <phoneticPr fontId="2" type="noConversion"/>
  </si>
  <si>
    <t>weight_decay * sqrt(total_batch_size / B_ref) * (D_ref / target_tokens)</t>
    <phoneticPr fontId="2" type="noConversion"/>
  </si>
  <si>
    <t>total training FLOPs</t>
    <phoneticPr fontId="2" type="noConversion"/>
  </si>
  <si>
    <t>FLOP_per_token * total_token</t>
    <phoneticPr fontId="2" type="noConversion"/>
  </si>
  <si>
    <t>AdamW weight decay scale</t>
    <phoneticPr fontId="2" type="noConversion"/>
  </si>
  <si>
    <t>default 0.28</t>
    <phoneticPr fontId="2" type="noConversion"/>
  </si>
  <si>
    <t>embedding_width // head_dim = 128 // 128</t>
    <phoneticPr fontId="2" type="noConversion"/>
  </si>
  <si>
    <t>depth=4</t>
    <phoneticPr fontId="2" type="noConversion"/>
  </si>
  <si>
    <t>kv head</t>
    <phoneticPr fontId="2" type="noConversion"/>
  </si>
  <si>
    <t>= attention head</t>
    <phoneticPr fontId="2" type="noConversion"/>
  </si>
  <si>
    <t>-</t>
    <phoneticPr fontId="2" type="noConversion"/>
  </si>
  <si>
    <t>depth=2</t>
    <phoneticPr fontId="2" type="noConversion"/>
  </si>
  <si>
    <t>Σ(layers(12 * h * q * effective_seq)) = 12 * 1 * 128 * (512*(depth-1)+2048)</t>
    <phoneticPr fontId="2" type="noConversion"/>
  </si>
  <si>
    <t>Input token</t>
    <phoneticPr fontId="2" type="noConversion"/>
  </si>
  <si>
    <t>Target token</t>
    <phoneticPr fontId="2" type="noConversion"/>
  </si>
  <si>
    <t>Masked target</t>
    <phoneticPr fontId="2" type="noConversion"/>
  </si>
  <si>
    <t>&lt;|bos|&gt;</t>
    <phoneticPr fontId="2" type="noConversion"/>
  </si>
  <si>
    <t>Compute</t>
    <phoneticPr fontId="2" type="noConversion"/>
  </si>
  <si>
    <t>+</t>
    <phoneticPr fontId="2" type="noConversion"/>
  </si>
  <si>
    <t>&lt;|user_end|&gt;</t>
  </si>
  <si>
    <t>&lt;|assistant_start|&gt;</t>
  </si>
  <si>
    <t>&lt;|assistant_end|&gt;</t>
    <phoneticPr fontId="2" type="noConversion"/>
  </si>
  <si>
    <t>from tokenizer.render_conversation()</t>
    <phoneticPr fontId="2" type="noConversion"/>
  </si>
  <si>
    <t>&lt;|user_start|&gt;</t>
    <phoneticPr fontId="2" type="noConversion"/>
  </si>
  <si>
    <t>Dataset</t>
    <phoneticPr fontId="2" type="noConversion"/>
  </si>
  <si>
    <t>GSM8K</t>
  </si>
  <si>
    <t>Stage</t>
  </si>
  <si>
    <t>Stage</t>
    <phoneticPr fontId="2" type="noConversion"/>
  </si>
  <si>
    <t>Mid-training</t>
  </si>
  <si>
    <t>Mid-training</t>
    <phoneticPr fontId="2" type="noConversion"/>
  </si>
  <si>
    <t>SFT</t>
  </si>
  <si>
    <t>SFT</t>
    <phoneticPr fontId="2" type="noConversion"/>
  </si>
  <si>
    <t>Train size</t>
    <phoneticPr fontId="2" type="noConversion"/>
  </si>
  <si>
    <t>Test size</t>
    <phoneticPr fontId="2" type="noConversion"/>
  </si>
  <si>
    <t>Total size</t>
    <phoneticPr fontId="2" type="noConversion"/>
  </si>
  <si>
    <t>Smol-SmolTalk</t>
    <phoneticPr fontId="2" type="noConversion"/>
  </si>
  <si>
    <t>MMLU auxiliary train</t>
    <phoneticPr fontId="2" type="noConversion"/>
  </si>
  <si>
    <t>dev</t>
    <phoneticPr fontId="2" type="noConversion"/>
  </si>
  <si>
    <t>valid</t>
    <phoneticPr fontId="2" type="noConversion"/>
  </si>
  <si>
    <t>Repetition</t>
    <phoneticPr fontId="2" type="noConversion"/>
  </si>
  <si>
    <t>Effective size</t>
    <phoneticPr fontId="2" type="noConversion"/>
  </si>
  <si>
    <t>Model tag</t>
  </si>
  <si>
    <t>Step</t>
  </si>
  <si>
    <t>Base</t>
  </si>
  <si>
    <t>depth2_eval50</t>
  </si>
  <si>
    <t>depth2_midtrain</t>
  </si>
  <si>
    <t>depth2_sft</t>
  </si>
  <si>
    <t>ARC-Easy
(2376)</t>
    <phoneticPr fontId="2" type="noConversion"/>
  </si>
  <si>
    <t>ARC-Challenge
(1172)</t>
    <phoneticPr fontId="2" type="noConversion"/>
  </si>
  <si>
    <t>GSM8K
(1319)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</si>
</sst>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76" formatCode="_(* #,##0_);_(* \(#,##0\);_(* &quot;-&quot;??_);_(@_)"/>
    <numFmt numFmtId="177" formatCode="_(* #,##0.0_);_(* \(#,##0.0\);_(* &quot;-&quot;??_);_(@_)"/>
    <numFmt numFmtId="178" formatCode="_(* #,##0.000000_);_(* \(#,##0.000000\);_(* &quot;-&quot;??_);_(@_)"/>
  </numFmts>
  <fonts count="8">
    <font>
      <sz val="12"/>
      <color theme="1"/>
      <name val="苹方-简"/>
      <family val="2"/>
      <charset val="134"/>
    </font>
    <font>
      <sz val="12"/>
      <color theme="1"/>
      <name val="苹方-简"/>
      <family val="2"/>
      <charset val="134"/>
    </font>
    <font>
      <sz val="9"/>
      <name val="苹方-简"/>
      <family val="2"/>
      <charset val="134"/>
    </font>
    <font>
      <b/>
      <sz val="12"/>
      <color theme="1"/>
      <name val="苹方-简"/>
      <family val="2"/>
      <charset val="134"/>
    </font>
    <font>
      <sz val="12"/>
      <color theme="1"/>
      <name val="Arial Unicode MS"/>
      <family val="2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Menlo Regula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176" fontId="0" fillId="0" borderId="2" xfId="1" applyNumberFormat="1" applyFont="1" applyBorder="1" applyAlignment="1">
      <alignment horizontal="center" vertical="center"/>
    </xf>
    <xf numFmtId="176" fontId="0" fillId="0" borderId="0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176" fontId="0" fillId="0" borderId="3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76" fontId="0" fillId="0" borderId="0" xfId="1" applyNumberFormat="1" applyFont="1">
      <alignment vertical="center"/>
    </xf>
    <xf numFmtId="0" fontId="3" fillId="0" borderId="2" xfId="0" applyFont="1" applyBorder="1" applyAlignment="1">
      <alignment horizontal="center" vertical="center" wrapText="1"/>
    </xf>
    <xf numFmtId="176" fontId="0" fillId="0" borderId="0" xfId="1" applyNumberFormat="1" applyFont="1" applyBorder="1">
      <alignment vertical="center"/>
    </xf>
    <xf numFmtId="0" fontId="0" fillId="0" borderId="3" xfId="0" applyBorder="1">
      <alignment vertical="center"/>
    </xf>
    <xf numFmtId="176" fontId="0" fillId="0" borderId="3" xfId="1" applyNumberFormat="1" applyFont="1" applyBorder="1">
      <alignment vertical="center"/>
    </xf>
    <xf numFmtId="0" fontId="0" fillId="0" borderId="1" xfId="0" applyBorder="1">
      <alignment vertical="center"/>
    </xf>
    <xf numFmtId="176" fontId="0" fillId="0" borderId="1" xfId="1" applyNumberFormat="1" applyFont="1" applyBorder="1">
      <alignment vertical="center"/>
    </xf>
    <xf numFmtId="0" fontId="0" fillId="0" borderId="2" xfId="0" applyBorder="1">
      <alignment vertical="center"/>
    </xf>
    <xf numFmtId="176" fontId="0" fillId="0" borderId="2" xfId="1" applyNumberFormat="1" applyFont="1" applyBorder="1">
      <alignment vertical="center"/>
    </xf>
    <xf numFmtId="49" fontId="0" fillId="0" borderId="3" xfId="0" applyNumberFormat="1" applyBorder="1">
      <alignment vertical="center"/>
    </xf>
    <xf numFmtId="0" fontId="3" fillId="0" borderId="2" xfId="0" applyFont="1" applyBorder="1" applyAlignment="1">
      <alignment horizontal="center" vertical="center"/>
    </xf>
    <xf numFmtId="177" fontId="0" fillId="0" borderId="2" xfId="1" applyNumberFormat="1" applyFont="1" applyBorder="1">
      <alignment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>
      <alignment vertical="center"/>
    </xf>
    <xf numFmtId="176" fontId="3" fillId="0" borderId="1" xfId="1" applyNumberFormat="1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178" fontId="0" fillId="0" borderId="0" xfId="1" applyNumberFormat="1" applyFont="1" applyBorder="1">
      <alignment vertical="center"/>
    </xf>
    <xf numFmtId="11" fontId="0" fillId="0" borderId="0" xfId="1" applyNumberFormat="1" applyFont="1" applyBorder="1">
      <alignment vertical="center"/>
    </xf>
    <xf numFmtId="49" fontId="0" fillId="0" borderId="0" xfId="0" applyNumberFormat="1">
      <alignment vertical="center"/>
    </xf>
    <xf numFmtId="176" fontId="0" fillId="0" borderId="2" xfId="1" applyNumberFormat="1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0" fontId="0" fillId="0" borderId="0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9" fontId="0" fillId="0" borderId="0" xfId="0" applyNumberFormat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65294-F065-8C40-B9C4-D880C32F470F}">
  <dimension ref="A1:D9"/>
  <sheetViews>
    <sheetView tabSelected="1" zoomScale="160" zoomScaleNormal="160" workbookViewId="0"/>
  </sheetViews>
  <sheetFormatPr baseColWidth="10" defaultRowHeight="19"/>
  <cols>
    <col min="1" max="1" width="12" bestFit="1" customWidth="1"/>
    <col min="2" max="2" width="15" bestFit="1" customWidth="1"/>
    <col min="3" max="3" width="12.7109375" bestFit="1" customWidth="1"/>
    <col min="4" max="4" width="17.28515625" bestFit="1" customWidth="1"/>
  </cols>
  <sheetData>
    <row r="1" spans="1:4" ht="40">
      <c r="A1" s="46" t="s">
        <v>0</v>
      </c>
      <c r="B1" s="46" t="s">
        <v>7</v>
      </c>
      <c r="C1" s="46" t="s">
        <v>6</v>
      </c>
      <c r="D1" s="46" t="s">
        <v>5</v>
      </c>
    </row>
    <row r="2" spans="1:4">
      <c r="A2" s="30" t="s">
        <v>1</v>
      </c>
      <c r="B2" s="2">
        <v>8192</v>
      </c>
      <c r="C2" s="1">
        <v>405</v>
      </c>
      <c r="D2" s="1">
        <v>0.2787</v>
      </c>
    </row>
    <row r="3" spans="1:4">
      <c r="A3" s="31"/>
      <c r="B3" s="6">
        <v>32768</v>
      </c>
      <c r="C3" s="5">
        <v>321</v>
      </c>
      <c r="D3" s="5">
        <v>0.22090000000000001</v>
      </c>
    </row>
    <row r="4" spans="1:4">
      <c r="A4" s="30" t="s">
        <v>2</v>
      </c>
      <c r="B4" s="2">
        <v>8192</v>
      </c>
      <c r="C4" s="1">
        <v>24</v>
      </c>
      <c r="D4" s="1">
        <v>0.61539999999999995</v>
      </c>
    </row>
    <row r="5" spans="1:4">
      <c r="A5" s="31"/>
      <c r="B5" s="6">
        <v>32768</v>
      </c>
      <c r="C5" s="5">
        <v>24</v>
      </c>
      <c r="D5" s="5">
        <v>0.61539999999999995</v>
      </c>
    </row>
    <row r="6" spans="1:4">
      <c r="A6" s="30" t="s">
        <v>3</v>
      </c>
      <c r="B6" s="2">
        <v>8192</v>
      </c>
      <c r="C6" s="1">
        <v>30</v>
      </c>
      <c r="D6" s="1">
        <v>0.47620000000000001</v>
      </c>
    </row>
    <row r="7" spans="1:4">
      <c r="A7" s="31"/>
      <c r="B7" s="6">
        <v>32768</v>
      </c>
      <c r="C7" s="5">
        <v>28</v>
      </c>
      <c r="D7" s="5">
        <v>0.44440000000000002</v>
      </c>
    </row>
    <row r="8" spans="1:4">
      <c r="A8" s="32" t="s">
        <v>4</v>
      </c>
      <c r="B8" s="3">
        <v>8192</v>
      </c>
      <c r="C8" s="4">
        <v>577</v>
      </c>
      <c r="D8" s="4">
        <v>2.9895999999999998</v>
      </c>
    </row>
    <row r="9" spans="1:4">
      <c r="A9" s="31"/>
      <c r="B9" s="6">
        <v>32768</v>
      </c>
      <c r="C9" s="5">
        <v>515</v>
      </c>
      <c r="D9" s="5">
        <v>2.6684000000000001</v>
      </c>
    </row>
  </sheetData>
  <mergeCells count="4">
    <mergeCell ref="A2:A3"/>
    <mergeCell ref="A4:A5"/>
    <mergeCell ref="A6:A7"/>
    <mergeCell ref="A8:A9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9463-092D-7846-950D-F7BAF9F35BA4}">
  <dimension ref="A1:F37"/>
  <sheetViews>
    <sheetView zoomScale="142" zoomScaleNormal="160" workbookViewId="0"/>
  </sheetViews>
  <sheetFormatPr baseColWidth="10" defaultRowHeight="19"/>
  <cols>
    <col min="1" max="1" width="10.7109375" style="8"/>
    <col min="2" max="2" width="24" bestFit="1" customWidth="1"/>
    <col min="3" max="3" width="25" customWidth="1"/>
    <col min="4" max="4" width="12.28515625" style="9" customWidth="1"/>
    <col min="5" max="5" width="18" bestFit="1" customWidth="1"/>
  </cols>
  <sheetData>
    <row r="1" spans="1:6" ht="20">
      <c r="A1" s="10" t="s">
        <v>78</v>
      </c>
      <c r="B1" s="19" t="s">
        <v>8</v>
      </c>
      <c r="C1" s="19" t="s">
        <v>9</v>
      </c>
      <c r="D1" s="29" t="s">
        <v>106</v>
      </c>
      <c r="E1" s="29" t="s">
        <v>102</v>
      </c>
    </row>
    <row r="2" spans="1:6" ht="20">
      <c r="A2" s="7" t="s">
        <v>63</v>
      </c>
      <c r="B2" s="14" t="s">
        <v>10</v>
      </c>
      <c r="C2" s="14" t="s">
        <v>58</v>
      </c>
      <c r="D2" s="15">
        <v>2</v>
      </c>
      <c r="E2" s="15">
        <v>4</v>
      </c>
    </row>
    <row r="3" spans="1:6">
      <c r="A3" s="32" t="s">
        <v>64</v>
      </c>
      <c r="B3" t="s">
        <v>79</v>
      </c>
      <c r="C3" t="s">
        <v>87</v>
      </c>
      <c r="D3" s="11">
        <f>_xlfn.FLOOR.MATH((D2*64+128-1)/128)*128</f>
        <v>128</v>
      </c>
      <c r="E3" s="11">
        <f>_xlfn.FLOOR.MATH((E2*64+128-1)/128)*128</f>
        <v>256</v>
      </c>
      <c r="F3" t="s">
        <v>12</v>
      </c>
    </row>
    <row r="4" spans="1:6">
      <c r="A4" s="32"/>
      <c r="B4" t="s">
        <v>11</v>
      </c>
      <c r="C4" t="s">
        <v>101</v>
      </c>
      <c r="D4" s="11">
        <f>_xlfn.FLOOR.MATH(D3/128)</f>
        <v>1</v>
      </c>
      <c r="E4" s="11">
        <f>_xlfn.FLOOR.MATH(E3/128)</f>
        <v>2</v>
      </c>
      <c r="F4" t="s">
        <v>13</v>
      </c>
    </row>
    <row r="5" spans="1:6">
      <c r="A5" s="32"/>
      <c r="B5" t="s">
        <v>103</v>
      </c>
      <c r="C5" s="27" t="s">
        <v>104</v>
      </c>
      <c r="D5" s="11">
        <f>D4</f>
        <v>1</v>
      </c>
      <c r="E5" s="11">
        <f>E4</f>
        <v>2</v>
      </c>
    </row>
    <row r="6" spans="1:6">
      <c r="A6" s="32"/>
      <c r="B6" t="s">
        <v>14</v>
      </c>
      <c r="C6" t="s">
        <v>47</v>
      </c>
      <c r="D6" s="11">
        <f>D37</f>
        <v>12976170</v>
      </c>
      <c r="E6" s="11">
        <f>E37</f>
        <v>36700242</v>
      </c>
    </row>
    <row r="7" spans="1:6">
      <c r="A7" s="32"/>
      <c r="B7" t="s">
        <v>15</v>
      </c>
      <c r="C7" t="s">
        <v>48</v>
      </c>
      <c r="D7" s="11">
        <f>D32+D33+D34+D35</f>
        <v>4587532</v>
      </c>
      <c r="E7" s="11">
        <f>E32+E33+E34+E35</f>
        <v>11534384</v>
      </c>
    </row>
    <row r="8" spans="1:6">
      <c r="A8" s="32"/>
      <c r="B8" t="s">
        <v>59</v>
      </c>
      <c r="C8" t="s">
        <v>60</v>
      </c>
      <c r="D8" s="11">
        <f>D7+24</f>
        <v>4587556</v>
      </c>
      <c r="E8" s="11">
        <f>E7+24</f>
        <v>11534408</v>
      </c>
      <c r="F8" t="s">
        <v>85</v>
      </c>
    </row>
    <row r="9" spans="1:6">
      <c r="A9" s="30" t="s">
        <v>73</v>
      </c>
      <c r="B9" s="16" t="s">
        <v>16</v>
      </c>
      <c r="C9" s="16" t="s">
        <v>49</v>
      </c>
      <c r="D9" s="17">
        <v>12</v>
      </c>
      <c r="E9" s="17">
        <v>12</v>
      </c>
      <c r="F9" t="s">
        <v>92</v>
      </c>
    </row>
    <row r="10" spans="1:6">
      <c r="A10" s="32"/>
      <c r="B10" t="s">
        <v>66</v>
      </c>
      <c r="C10" t="s">
        <v>88</v>
      </c>
      <c r="D10" s="11">
        <f>D7*D9</f>
        <v>55050384</v>
      </c>
      <c r="E10" s="11">
        <f>E7*E9</f>
        <v>138412608</v>
      </c>
    </row>
    <row r="11" spans="1:6">
      <c r="A11" s="32"/>
      <c r="B11" t="s">
        <v>18</v>
      </c>
      <c r="C11" t="s">
        <v>89</v>
      </c>
      <c r="D11" s="11">
        <f>D18*D19</f>
        <v>55050240</v>
      </c>
      <c r="E11" s="11">
        <f>E18*E19</f>
        <v>138412032</v>
      </c>
    </row>
    <row r="12" spans="1:6">
      <c r="A12" s="34"/>
      <c r="B12" s="12" t="s">
        <v>46</v>
      </c>
      <c r="C12" s="12" t="s">
        <v>50</v>
      </c>
      <c r="D12" s="13">
        <v>2048</v>
      </c>
      <c r="E12" s="13">
        <v>2048</v>
      </c>
    </row>
    <row r="13" spans="1:6" ht="19" customHeight="1">
      <c r="A13" s="30" t="s">
        <v>74</v>
      </c>
      <c r="B13" t="s">
        <v>61</v>
      </c>
      <c r="C13" t="s">
        <v>107</v>
      </c>
      <c r="D13" s="11">
        <f>12*1*D3*(512*(D2-1)+D12)</f>
        <v>3932160</v>
      </c>
      <c r="E13" s="11">
        <f>12*1*E3*(512*(E2-1)+E12)</f>
        <v>11010048</v>
      </c>
      <c r="F13" t="s">
        <v>83</v>
      </c>
    </row>
    <row r="14" spans="1:6">
      <c r="A14" s="32"/>
      <c r="B14" t="s">
        <v>45</v>
      </c>
      <c r="C14" t="s">
        <v>90</v>
      </c>
      <c r="D14" s="11">
        <f>6*D8+D13</f>
        <v>31457496</v>
      </c>
      <c r="E14" s="11">
        <f>6*E8+E13</f>
        <v>80216496</v>
      </c>
      <c r="F14" t="s">
        <v>65</v>
      </c>
    </row>
    <row r="15" spans="1:6">
      <c r="A15" s="34"/>
      <c r="B15" t="s">
        <v>97</v>
      </c>
      <c r="C15" t="s">
        <v>98</v>
      </c>
      <c r="D15" s="26">
        <f>D14*D11</f>
        <v>1731742704599040</v>
      </c>
      <c r="E15" s="26">
        <f>E14*E11</f>
        <v>1.1102928211279872E+16</v>
      </c>
    </row>
    <row r="16" spans="1:6">
      <c r="A16" s="30" t="s">
        <v>75</v>
      </c>
      <c r="B16" s="16" t="s">
        <v>68</v>
      </c>
      <c r="C16" s="16" t="s">
        <v>67</v>
      </c>
      <c r="D16" s="28" t="s">
        <v>105</v>
      </c>
      <c r="E16" s="28" t="s">
        <v>105</v>
      </c>
      <c r="F16" t="s">
        <v>71</v>
      </c>
    </row>
    <row r="17" spans="1:6">
      <c r="A17" s="34"/>
      <c r="B17" s="12" t="s">
        <v>69</v>
      </c>
      <c r="C17" s="18" t="s">
        <v>70</v>
      </c>
      <c r="D17" s="13">
        <f>2^19</f>
        <v>524288</v>
      </c>
      <c r="E17" s="13">
        <f>2^19</f>
        <v>524288</v>
      </c>
      <c r="F17" t="s">
        <v>72</v>
      </c>
    </row>
    <row r="18" spans="1:6" ht="19" customHeight="1">
      <c r="A18" s="30" t="s">
        <v>76</v>
      </c>
      <c r="B18" t="s">
        <v>17</v>
      </c>
      <c r="C18" t="s">
        <v>95</v>
      </c>
      <c r="D18" s="11">
        <v>131072</v>
      </c>
      <c r="E18" s="11">
        <v>262144</v>
      </c>
      <c r="F18" t="s">
        <v>94</v>
      </c>
    </row>
    <row r="19" spans="1:6">
      <c r="A19" s="32"/>
      <c r="B19" t="s">
        <v>19</v>
      </c>
      <c r="C19" t="s">
        <v>51</v>
      </c>
      <c r="D19" s="11">
        <f>_xlfn.FLOOR.MATH(D10/D18)</f>
        <v>420</v>
      </c>
      <c r="E19" s="11">
        <f>_xlfn.FLOOR.MATH(E10/E18)</f>
        <v>528</v>
      </c>
    </row>
    <row r="20" spans="1:6">
      <c r="A20" s="30" t="s">
        <v>77</v>
      </c>
      <c r="B20" s="16" t="s">
        <v>53</v>
      </c>
      <c r="C20" s="16" t="s">
        <v>52</v>
      </c>
      <c r="D20" s="20">
        <f>SQRT(D18/D17)</f>
        <v>0.5</v>
      </c>
      <c r="E20" s="20">
        <f>SQRT(E18/E17)</f>
        <v>0.70710678118654757</v>
      </c>
      <c r="F20" t="s">
        <v>84</v>
      </c>
    </row>
    <row r="21" spans="1:6">
      <c r="A21" s="32"/>
      <c r="B21" t="s">
        <v>54</v>
      </c>
      <c r="C21" t="s">
        <v>55</v>
      </c>
      <c r="D21" s="25">
        <f>(D3/768)^(-1/2)</f>
        <v>2.4494897427831779</v>
      </c>
      <c r="E21" s="25">
        <f>(E3/768)^(-1/2)</f>
        <v>1.7320508075688774</v>
      </c>
      <c r="F21" t="s">
        <v>93</v>
      </c>
    </row>
    <row r="22" spans="1:6">
      <c r="A22" s="32"/>
      <c r="B22" t="s">
        <v>99</v>
      </c>
      <c r="C22" t="s">
        <v>96</v>
      </c>
      <c r="D22" s="25">
        <v>3.360004</v>
      </c>
      <c r="E22">
        <v>1.8899030000000001</v>
      </c>
      <c r="F22" t="s">
        <v>100</v>
      </c>
    </row>
    <row r="23" spans="1:6">
      <c r="A23" s="32"/>
      <c r="B23" t="s">
        <v>56</v>
      </c>
      <c r="C23" t="s">
        <v>57</v>
      </c>
      <c r="D23" s="11">
        <v>16</v>
      </c>
      <c r="E23" s="11">
        <v>16</v>
      </c>
    </row>
    <row r="24" spans="1:6">
      <c r="A24" s="32"/>
      <c r="B24" t="s">
        <v>80</v>
      </c>
      <c r="C24" t="s">
        <v>82</v>
      </c>
      <c r="D24" s="11">
        <v>1</v>
      </c>
      <c r="E24" s="11">
        <v>1</v>
      </c>
      <c r="F24" t="s">
        <v>81</v>
      </c>
    </row>
    <row r="25" spans="1:6">
      <c r="A25" s="34"/>
      <c r="B25" s="12" t="s">
        <v>20</v>
      </c>
      <c r="C25" s="12" t="s">
        <v>91</v>
      </c>
      <c r="D25" s="13">
        <f>D18/(D23*D12*D24)</f>
        <v>4</v>
      </c>
      <c r="E25" s="13">
        <f>E18/(E23*E12*E24)</f>
        <v>8</v>
      </c>
      <c r="F25" t="s">
        <v>62</v>
      </c>
    </row>
    <row r="28" spans="1:6">
      <c r="B28" s="21" t="s">
        <v>86</v>
      </c>
    </row>
    <row r="29" spans="1:6">
      <c r="B29" s="22" t="s">
        <v>22</v>
      </c>
      <c r="C29" s="22" t="s">
        <v>9</v>
      </c>
      <c r="D29" s="24" t="s">
        <v>106</v>
      </c>
      <c r="E29" s="24" t="s">
        <v>102</v>
      </c>
      <c r="F29" s="22" t="s">
        <v>37</v>
      </c>
    </row>
    <row r="30" spans="1:6">
      <c r="B30" s="16" t="s">
        <v>23</v>
      </c>
      <c r="C30" s="16" t="s">
        <v>21</v>
      </c>
      <c r="D30" s="17">
        <f>32768*D3</f>
        <v>4194304</v>
      </c>
      <c r="E30" s="17">
        <f>32768*E3</f>
        <v>8388608</v>
      </c>
      <c r="F30" s="16" t="s">
        <v>38</v>
      </c>
    </row>
    <row r="31" spans="1:6">
      <c r="B31" t="s">
        <v>24</v>
      </c>
      <c r="C31" t="s">
        <v>25</v>
      </c>
      <c r="D31" s="11">
        <f>_xlfn.FLOOR.MATH((D2+1)/2)*32768*D3</f>
        <v>4194304</v>
      </c>
      <c r="E31" s="11">
        <f>_xlfn.FLOOR.MATH((E2+1)/2)*32768*E3</f>
        <v>16777216</v>
      </c>
      <c r="F31" t="s">
        <v>39</v>
      </c>
    </row>
    <row r="32" spans="1:6">
      <c r="B32" t="s">
        <v>26</v>
      </c>
      <c r="C32" t="s">
        <v>27</v>
      </c>
      <c r="D32" s="11">
        <f>32768*D3</f>
        <v>4194304</v>
      </c>
      <c r="E32" s="11">
        <f>32768*E3</f>
        <v>8388608</v>
      </c>
      <c r="F32" t="s">
        <v>40</v>
      </c>
    </row>
    <row r="33" spans="2:6">
      <c r="B33" t="s">
        <v>28</v>
      </c>
      <c r="C33" t="s">
        <v>35</v>
      </c>
      <c r="D33" s="11">
        <f>(D3*(D4+2*D5)*128+D3*D3)*D2</f>
        <v>131072</v>
      </c>
      <c r="E33" s="11">
        <f>(E3*(E4+2*E5)*128+E3*E3)*E2</f>
        <v>1048576</v>
      </c>
      <c r="F33" t="s">
        <v>41</v>
      </c>
    </row>
    <row r="34" spans="2:6">
      <c r="B34" t="s">
        <v>31</v>
      </c>
      <c r="C34" t="s">
        <v>32</v>
      </c>
      <c r="D34" s="11">
        <f>_xlfn.FLOOR.MATH((D2+1)/2)*12*D5</f>
        <v>12</v>
      </c>
      <c r="E34" s="11">
        <f>_xlfn.FLOOR.MATH((E2+1)/2)*12*E5</f>
        <v>48</v>
      </c>
      <c r="F34" t="s">
        <v>42</v>
      </c>
    </row>
    <row r="35" spans="2:6">
      <c r="B35" t="s">
        <v>29</v>
      </c>
      <c r="C35" t="s">
        <v>34</v>
      </c>
      <c r="D35" s="11">
        <f>D3*4*D3*2*D2</f>
        <v>262144</v>
      </c>
      <c r="E35" s="11">
        <f>E3*4*E3*2*E2</f>
        <v>2097152</v>
      </c>
      <c r="F35" t="s">
        <v>43</v>
      </c>
    </row>
    <row r="36" spans="2:6">
      <c r="B36" s="12" t="s">
        <v>33</v>
      </c>
      <c r="C36" s="12" t="s">
        <v>36</v>
      </c>
      <c r="D36" s="13">
        <f>D2+D2+24+1+1</f>
        <v>30</v>
      </c>
      <c r="E36" s="13">
        <v>34</v>
      </c>
      <c r="F36" s="12" t="s">
        <v>44</v>
      </c>
    </row>
    <row r="37" spans="2:6">
      <c r="B37" s="33" t="s">
        <v>30</v>
      </c>
      <c r="C37" s="33"/>
      <c r="D37" s="23">
        <f>SUM(D30:D36)</f>
        <v>12976170</v>
      </c>
      <c r="E37" s="23">
        <f>SUM(E30:E36)</f>
        <v>36700242</v>
      </c>
      <c r="F37" s="14"/>
    </row>
  </sheetData>
  <mergeCells count="7">
    <mergeCell ref="B37:C37"/>
    <mergeCell ref="A3:A8"/>
    <mergeCell ref="A9:A12"/>
    <mergeCell ref="A16:A17"/>
    <mergeCell ref="A20:A25"/>
    <mergeCell ref="A18:A19"/>
    <mergeCell ref="A13:A15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A6DF4-0FA4-1D4F-B91E-7CAE46A734FF}">
  <dimension ref="A1:C16"/>
  <sheetViews>
    <sheetView zoomScale="170" zoomScaleNormal="170" workbookViewId="0"/>
  </sheetViews>
  <sheetFormatPr baseColWidth="10" defaultRowHeight="15"/>
  <cols>
    <col min="1" max="2" width="21.5703125" style="36" bestFit="1" customWidth="1"/>
    <col min="3" max="3" width="19.28515625" style="36" bestFit="1" customWidth="1"/>
    <col min="4" max="16384" width="10.7109375" style="36"/>
  </cols>
  <sheetData>
    <row r="1" spans="1:3" s="35" customFormat="1" ht="16">
      <c r="A1" s="38" t="s">
        <v>108</v>
      </c>
      <c r="B1" s="38" t="s">
        <v>109</v>
      </c>
      <c r="C1" s="38" t="s">
        <v>110</v>
      </c>
    </row>
    <row r="2" spans="1:3">
      <c r="A2" s="39" t="s">
        <v>111</v>
      </c>
      <c r="B2" s="39" t="s">
        <v>118</v>
      </c>
      <c r="C2" s="39">
        <v>-1</v>
      </c>
    </row>
    <row r="3" spans="1:3">
      <c r="A3" s="40" t="s">
        <v>118</v>
      </c>
      <c r="B3" s="40" t="s">
        <v>112</v>
      </c>
      <c r="C3" s="40">
        <v>-1</v>
      </c>
    </row>
    <row r="4" spans="1:3">
      <c r="A4" s="40" t="s">
        <v>112</v>
      </c>
      <c r="B4" s="40">
        <v>1</v>
      </c>
      <c r="C4" s="40">
        <v>-1</v>
      </c>
    </row>
    <row r="5" spans="1:3">
      <c r="A5" s="40">
        <v>1</v>
      </c>
      <c r="B5" s="40" t="s">
        <v>113</v>
      </c>
      <c r="C5" s="40">
        <v>-1</v>
      </c>
    </row>
    <row r="6" spans="1:3">
      <c r="A6" s="40" t="s">
        <v>113</v>
      </c>
      <c r="B6" s="40">
        <v>1</v>
      </c>
      <c r="C6" s="40">
        <v>-1</v>
      </c>
    </row>
    <row r="7" spans="1:3">
      <c r="A7" s="40">
        <v>1</v>
      </c>
      <c r="B7" s="40" t="s">
        <v>114</v>
      </c>
      <c r="C7" s="40">
        <v>-1</v>
      </c>
    </row>
    <row r="8" spans="1:3">
      <c r="A8" s="40" t="s">
        <v>114</v>
      </c>
      <c r="B8" s="40" t="s">
        <v>115</v>
      </c>
      <c r="C8" s="40">
        <v>-1</v>
      </c>
    </row>
    <row r="9" spans="1:3">
      <c r="A9" s="40" t="s">
        <v>115</v>
      </c>
      <c r="B9" s="40">
        <v>2</v>
      </c>
      <c r="C9" s="40">
        <v>2</v>
      </c>
    </row>
    <row r="10" spans="1:3">
      <c r="A10" s="41">
        <v>2</v>
      </c>
      <c r="B10" s="41" t="s">
        <v>116</v>
      </c>
      <c r="C10" s="41" t="s">
        <v>116</v>
      </c>
    </row>
    <row r="16" spans="1:3">
      <c r="A16" s="37" t="s">
        <v>117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F4F05-A398-0346-B331-564F10C2C771}">
  <dimension ref="A1:I4"/>
  <sheetViews>
    <sheetView zoomScale="150" zoomScaleNormal="150" workbookViewId="0"/>
  </sheetViews>
  <sheetFormatPr baseColWidth="10" defaultRowHeight="19"/>
  <cols>
    <col min="1" max="1" width="11.7109375" style="4" bestFit="1" customWidth="1"/>
    <col min="2" max="2" width="19" style="4" bestFit="1" customWidth="1"/>
    <col min="3" max="4" width="10.7109375" style="4"/>
    <col min="5" max="5" width="12.85546875" style="4" bestFit="1" customWidth="1"/>
    <col min="6" max="16384" width="10.7109375" style="4"/>
  </cols>
  <sheetData>
    <row r="1" spans="1:9">
      <c r="A1" s="24" t="s">
        <v>122</v>
      </c>
      <c r="B1" s="24" t="s">
        <v>119</v>
      </c>
      <c r="C1" s="24" t="s">
        <v>127</v>
      </c>
      <c r="D1" s="24" t="s">
        <v>134</v>
      </c>
      <c r="E1" s="24" t="s">
        <v>135</v>
      </c>
      <c r="F1" s="24" t="s">
        <v>128</v>
      </c>
      <c r="G1" s="24" t="s">
        <v>129</v>
      </c>
      <c r="H1" s="4" t="s">
        <v>132</v>
      </c>
      <c r="I1" s="4" t="s">
        <v>133</v>
      </c>
    </row>
    <row r="2" spans="1:9">
      <c r="A2" s="1" t="s">
        <v>124</v>
      </c>
      <c r="B2" s="1" t="s">
        <v>131</v>
      </c>
      <c r="C2" s="42">
        <v>99842</v>
      </c>
      <c r="D2" s="42">
        <v>3</v>
      </c>
      <c r="E2" s="42">
        <f>C2*D2</f>
        <v>299526</v>
      </c>
      <c r="F2" s="42">
        <v>14042</v>
      </c>
      <c r="G2" s="42">
        <f>C2+F2+H2+I2</f>
        <v>115700</v>
      </c>
      <c r="H2" s="4">
        <v>285</v>
      </c>
      <c r="I2" s="4">
        <v>1531</v>
      </c>
    </row>
    <row r="3" spans="1:9">
      <c r="A3" s="43" t="s">
        <v>124</v>
      </c>
      <c r="B3" s="43" t="s">
        <v>120</v>
      </c>
      <c r="C3" s="44">
        <v>7473</v>
      </c>
      <c r="D3" s="44">
        <v>4</v>
      </c>
      <c r="E3" s="44">
        <f t="shared" ref="E3:E4" si="0">C3*D3</f>
        <v>29892</v>
      </c>
      <c r="F3" s="44">
        <v>1319</v>
      </c>
      <c r="G3" s="44">
        <f>C3+F3</f>
        <v>8792</v>
      </c>
    </row>
    <row r="4" spans="1:9">
      <c r="A4" s="5" t="s">
        <v>126</v>
      </c>
      <c r="B4" s="5" t="s">
        <v>130</v>
      </c>
      <c r="C4" s="45">
        <v>460341</v>
      </c>
      <c r="D4" s="45">
        <v>1</v>
      </c>
      <c r="E4" s="45">
        <f t="shared" si="0"/>
        <v>460341</v>
      </c>
      <c r="F4" s="45">
        <v>24229</v>
      </c>
      <c r="G4" s="45">
        <v>484570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B76E6-61C4-B449-A074-3BDA90F1367C}">
  <dimension ref="A1:F4"/>
  <sheetViews>
    <sheetView zoomScale="150" zoomScaleNormal="150" workbookViewId="0"/>
  </sheetViews>
  <sheetFormatPr baseColWidth="10" defaultRowHeight="19"/>
  <cols>
    <col min="1" max="1" width="11.7109375" bestFit="1" customWidth="1"/>
    <col min="2" max="2" width="14.85546875" customWidth="1"/>
    <col min="3" max="3" width="5.7109375" customWidth="1"/>
    <col min="4" max="4" width="13.7109375" bestFit="1" customWidth="1"/>
    <col min="5" max="5" width="18.42578125" bestFit="1" customWidth="1"/>
    <col min="6" max="6" width="11.42578125" bestFit="1" customWidth="1"/>
  </cols>
  <sheetData>
    <row r="1" spans="1:6" ht="40">
      <c r="A1" s="24" t="s">
        <v>121</v>
      </c>
      <c r="B1" s="24" t="s">
        <v>136</v>
      </c>
      <c r="C1" s="24" t="s">
        <v>137</v>
      </c>
      <c r="D1" s="46" t="s">
        <v>142</v>
      </c>
      <c r="E1" s="46" t="s">
        <v>143</v>
      </c>
      <c r="F1" s="46" t="s">
        <v>144</v>
      </c>
    </row>
    <row r="2" spans="1:6">
      <c r="A2" s="43" t="s">
        <v>138</v>
      </c>
      <c r="B2" s="43" t="s">
        <v>139</v>
      </c>
      <c r="C2" s="43">
        <v>420</v>
      </c>
      <c r="D2" s="47">
        <v>0.2487</v>
      </c>
      <c r="E2" s="47">
        <v>0.23630000000000001</v>
      </c>
      <c r="F2" s="49">
        <v>0</v>
      </c>
    </row>
    <row r="3" spans="1:6">
      <c r="A3" s="43" t="s">
        <v>123</v>
      </c>
      <c r="B3" s="43" t="s">
        <v>140</v>
      </c>
      <c r="C3" s="43">
        <v>928</v>
      </c>
      <c r="D3" s="47">
        <v>0.2576</v>
      </c>
      <c r="E3" s="47">
        <v>0.28160000000000002</v>
      </c>
      <c r="F3" s="47">
        <v>9.9000000000000008E-3</v>
      </c>
    </row>
    <row r="4" spans="1:6">
      <c r="A4" s="5" t="s">
        <v>125</v>
      </c>
      <c r="B4" s="5" t="s">
        <v>141</v>
      </c>
      <c r="C4" s="5">
        <v>2868</v>
      </c>
      <c r="D4" s="48">
        <v>0.25130000000000002</v>
      </c>
      <c r="E4" s="48">
        <v>0.2329</v>
      </c>
      <c r="F4" s="50">
        <v>0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Task 1</vt:lpstr>
      <vt:lpstr>Task 2 Model</vt:lpstr>
      <vt:lpstr>Task 3 Loss Masking</vt:lpstr>
      <vt:lpstr>Task 3 Data Analysis</vt:lpstr>
      <vt:lpstr>Task 3 Benchmark 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Siwen Zhang</dc:creator>
  <cp:lastModifiedBy>Siwen Zhang</cp:lastModifiedBy>
  <dcterms:created xsi:type="dcterms:W3CDTF">2026-09-18T21:27:44Z</dcterms:created>
  <dcterms:modified xsi:type="dcterms:W3CDTF">2026-09-28T01:26:52Z</dcterms:modified>
</cp:coreProperties>
</file>